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uliomeza/git/stock-analysis/"/>
    </mc:Choice>
  </mc:AlternateContent>
  <xr:revisionPtr revIDLastSave="0" documentId="13_ncr:1_{8E1860EE-4C61-FA40-8343-FFA345A648E9}" xr6:coauthVersionLast="47" xr6:coauthVersionMax="47" xr10:uidLastSave="{00000000-0000-0000-0000-000000000000}"/>
  <bookViews>
    <workbookView xWindow="0" yWindow="500" windowWidth="25600" windowHeight="19900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Volume Analysis" sheetId="6" r:id="rId5"/>
    <sheet name="Return Analysis" sheetId="8" r:id="rId6"/>
  </sheets>
  <definedNames>
    <definedName name="_xlnm._FilterDatabase" localSheetId="1" hidden="1">'2018'!$A$1:$H$3013</definedName>
    <definedName name="_xlnm._FilterDatabase" localSheetId="5" hidden="1">'Return Analysis'!$A$2:$D$14</definedName>
    <definedName name="_xlnm._FilterDatabase" localSheetId="4" hidden="1">'Volume Analysis'!$A$2:$D$14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9" i="8" l="1"/>
  <c r="B19" i="8"/>
  <c r="C18" i="8"/>
  <c r="B18" i="8"/>
  <c r="C17" i="8"/>
  <c r="B17" i="8"/>
  <c r="D14" i="8"/>
  <c r="D13" i="8"/>
  <c r="D12" i="8"/>
  <c r="D11" i="8"/>
  <c r="D10" i="8"/>
  <c r="D9" i="8"/>
  <c r="D8" i="8"/>
  <c r="D7" i="8"/>
  <c r="D6" i="8"/>
  <c r="D5" i="8"/>
  <c r="D4" i="8"/>
  <c r="D3" i="8"/>
  <c r="C19" i="6"/>
  <c r="C18" i="6"/>
  <c r="B19" i="6"/>
  <c r="B18" i="6"/>
  <c r="C17" i="6"/>
  <c r="B17" i="6"/>
  <c r="D4" i="6"/>
  <c r="D5" i="6"/>
  <c r="D6" i="6"/>
  <c r="D7" i="6"/>
  <c r="D8" i="6"/>
  <c r="D9" i="6"/>
  <c r="D10" i="6"/>
  <c r="D11" i="6"/>
  <c r="D12" i="6"/>
  <c r="D13" i="6"/>
  <c r="D14" i="6"/>
  <c r="D3" i="6"/>
  <c r="C20" i="8" l="1"/>
  <c r="B20" i="8"/>
  <c r="C20" i="6"/>
  <c r="B20" i="6"/>
</calcChain>
</file>

<file path=xl/sharedStrings.xml><?xml version="1.0" encoding="utf-8"?>
<sst xmlns="http://schemas.openxmlformats.org/spreadsheetml/2006/main" count="12120" uniqueCount="535">
  <si>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</si>
  <si>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</si>
  <si>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</si>
  <si>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</si>
  <si>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</si>
  <si>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</si>
  <si>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</si>
  <si>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</si>
  <si>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</si>
  <si>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</si>
  <si>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</si>
  <si>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</si>
  <si>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</si>
  <si>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</si>
  <si>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</si>
  <si>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</si>
  <si>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</si>
  <si>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</si>
  <si>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</si>
  <si>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</si>
  <si>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</si>
  <si>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</si>
  <si>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</si>
  <si>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</si>
  <si>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</si>
  <si>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</si>
  <si>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</si>
  <si>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</si>
  <si>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</si>
  <si>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</si>
  <si>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</si>
  <si>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</si>
  <si>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</si>
  <si>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</si>
  <si>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</si>
  <si>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</si>
  <si>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</si>
  <si>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</si>
  <si>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</si>
  <si>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</si>
  <si>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</si>
  <si>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</si>
  <si>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</si>
  <si>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</si>
  <si>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</si>
  <si>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</si>
  <si>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</si>
  <si>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</si>
  <si>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</si>
  <si>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</si>
  <si>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</si>
  <si>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</si>
  <si>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</si>
  <si>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</si>
  <si>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</si>
  <si>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</si>
  <si>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</si>
  <si>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</si>
  <si>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</si>
  <si>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</si>
  <si>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</si>
  <si>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</si>
  <si>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</si>
  <si>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</si>
  <si>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</si>
  <si>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</si>
  <si>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</si>
  <si>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</si>
  <si>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</si>
  <si>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</si>
  <si>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</si>
  <si>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</si>
  <si>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</si>
  <si>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</si>
  <si>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</si>
  <si>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</si>
  <si>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</si>
  <si>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</si>
  <si>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</si>
  <si>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</si>
  <si>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</si>
  <si>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</si>
  <si>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</si>
  <si>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</si>
  <si>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</si>
  <si>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</si>
  <si>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</si>
  <si>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</si>
  <si>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</si>
  <si>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</si>
  <si>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</si>
  <si>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</si>
  <si>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</si>
  <si>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</si>
  <si>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</si>
  <si>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</si>
  <si>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</si>
  <si>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</si>
  <si>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</si>
  <si>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</si>
  <si>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</si>
  <si>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</si>
  <si>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</si>
  <si>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</si>
  <si>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</si>
  <si>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</si>
  <si>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</si>
  <si>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</si>
  <si>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</si>
  <si>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</si>
  <si>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</si>
  <si>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</si>
  <si>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</si>
  <si>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</si>
  <si>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</si>
  <si>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</si>
  <si>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</si>
  <si>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</si>
  <si>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</si>
  <si>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</si>
  <si>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</si>
  <si>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</si>
  <si>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</si>
  <si>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</si>
  <si>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</si>
  <si>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</si>
  <si>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</si>
  <si>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</si>
  <si>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</si>
  <si>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</si>
  <si>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</si>
  <si>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</si>
  <si>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</si>
  <si>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</si>
  <si>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</si>
  <si>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</si>
  <si>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</si>
  <si>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</si>
  <si>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</si>
  <si>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</si>
  <si>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</si>
  <si>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</si>
  <si>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</si>
  <si>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</si>
  <si>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</si>
  <si>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</si>
  <si>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</si>
  <si>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</si>
  <si>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</si>
  <si>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</si>
  <si>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</si>
  <si>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</si>
  <si>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</si>
  <si>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</si>
  <si>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</si>
  <si>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</si>
  <si>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</si>
  <si>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</si>
  <si>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</si>
  <si>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</si>
  <si>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</si>
  <si>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</si>
  <si>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</si>
  <si>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</si>
  <si>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</si>
  <si>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</si>
  <si>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</si>
  <si>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</si>
  <si>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</si>
  <si>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</si>
  <si>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</si>
  <si>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</si>
  <si>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</si>
  <si>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</si>
  <si>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</si>
  <si>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</si>
  <si>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</si>
  <si>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</si>
  <si>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</si>
  <si>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</si>
  <si>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</si>
  <si>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</si>
  <si>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</si>
  <si>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</si>
  <si>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</si>
  <si>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</si>
  <si>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</si>
  <si>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</si>
  <si>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</si>
  <si>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</si>
  <si>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</si>
  <si>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</si>
  <si>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</si>
  <si>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</si>
  <si>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</si>
  <si>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</si>
  <si>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</si>
  <si>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</si>
  <si>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</si>
  <si>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</si>
  <si>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</si>
  <si>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</si>
  <si>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</si>
  <si>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</si>
  <si>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</si>
  <si>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</si>
  <si>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</si>
  <si>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</si>
  <si>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</si>
  <si>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</si>
  <si>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</si>
  <si>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</si>
  <si>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</si>
  <si>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</si>
  <si>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</si>
  <si>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</si>
  <si>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</si>
  <si>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</si>
  <si>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</si>
  <si>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</si>
  <si>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</si>
  <si>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</si>
  <si>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</si>
  <si>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</si>
  <si>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</si>
  <si>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</si>
  <si>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</si>
  <si>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</si>
  <si>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</si>
  <si>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</si>
  <si>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</si>
  <si>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</si>
  <si>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</si>
  <si>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</si>
  <si>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</si>
  <si>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</si>
  <si>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</si>
  <si>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</si>
  <si>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</si>
  <si>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</si>
  <si>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</si>
  <si>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</si>
  <si>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</si>
  <si>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</si>
  <si>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</si>
  <si>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</si>
  <si>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</si>
  <si>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</si>
  <si>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</si>
  <si>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</si>
  <si>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</si>
  <si>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</si>
  <si>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</si>
  <si>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</si>
  <si>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</si>
  <si>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</si>
  <si>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</si>
  <si>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</si>
  <si>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</si>
  <si>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</si>
  <si>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</si>
  <si>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</si>
  <si>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</si>
  <si>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</si>
  <si>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</si>
  <si>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</si>
  <si>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</si>
  <si>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</si>
  <si>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</si>
  <si>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</si>
  <si>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</si>
  <si>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</si>
  <si>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</si>
  <si>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</si>
  <si>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</si>
  <si>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</si>
  <si>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</si>
  <si>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</si>
  <si>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</si>
  <si>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</si>
  <si>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</si>
  <si>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</si>
  <si>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</si>
  <si>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</si>
  <si>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</si>
  <si>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</si>
  <si>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</si>
  <si>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</si>
  <si>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</si>
  <si>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</si>
  <si>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</si>
  <si>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</si>
  <si>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</si>
  <si>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</si>
  <si>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</si>
  <si>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</si>
  <si>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</si>
  <si>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</si>
  <si>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</si>
  <si>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</si>
  <si>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</si>
  <si>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</si>
  <si>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</si>
  <si>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</si>
  <si>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</si>
  <si>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</si>
  <si>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</si>
  <si>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</si>
  <si>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</si>
  <si>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</si>
  <si>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</si>
  <si>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</si>
  <si>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</si>
  <si>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</si>
  <si>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</si>
  <si>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</si>
  <si>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</si>
  <si>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</si>
  <si>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</si>
  <si>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</si>
  <si>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</si>
  <si>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</si>
  <si>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</si>
  <si>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</si>
  <si>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</si>
  <si>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</si>
  <si>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</si>
  <si>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</si>
  <si>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</si>
  <si>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</si>
  <si>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</si>
  <si>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</si>
  <si>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</si>
  <si>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</si>
  <si>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</si>
  <si>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</si>
  <si>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</si>
  <si>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</si>
  <si>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</si>
  <si>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</si>
  <si>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</si>
  <si>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</si>
  <si>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</si>
  <si>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</si>
  <si>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</si>
  <si>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</si>
  <si>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</si>
  <si>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</si>
  <si>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</si>
  <si>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</si>
  <si>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</si>
  <si>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</si>
  <si>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</si>
  <si>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</si>
  <si>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</si>
  <si>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</si>
  <si>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</si>
  <si>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</si>
  <si>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</si>
  <si>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</si>
  <si>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</si>
  <si>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</si>
  <si>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</si>
  <si>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</si>
  <si>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</si>
  <si>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</si>
  <si>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</si>
  <si>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</si>
  <si>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</si>
  <si>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</si>
  <si>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</si>
  <si>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</si>
  <si>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</si>
  <si>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</si>
  <si>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</si>
  <si>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</si>
  <si>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</si>
  <si>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</si>
  <si>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</si>
  <si>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</si>
  <si>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</si>
  <si>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</si>
  <si>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</si>
  <si>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</si>
  <si>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</si>
  <si>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</si>
  <si>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</si>
  <si>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</si>
  <si>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</si>
  <si>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</si>
  <si>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</si>
  <si>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</si>
  <si>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</si>
  <si>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</si>
  <si>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</si>
  <si>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</si>
  <si>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</si>
  <si>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</si>
  <si>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</si>
  <si>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</si>
  <si>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</si>
  <si>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</si>
  <si>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</si>
  <si>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</si>
  <si>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</si>
  <si>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</si>
  <si>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</si>
  <si>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</si>
  <si>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</si>
  <si>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</si>
  <si>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</si>
  <si>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</si>
  <si>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</si>
  <si>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</si>
  <si>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</si>
  <si>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</si>
  <si>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</si>
  <si>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</si>
  <si>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</si>
  <si>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</si>
  <si>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</si>
  <si>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</si>
  <si>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</si>
  <si>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</si>
  <si>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</si>
  <si>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</si>
  <si>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</si>
  <si>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</si>
  <si>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</si>
  <si>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</si>
  <si>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</si>
  <si>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</si>
  <si>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</si>
  <si>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</si>
  <si>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</si>
  <si>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</si>
  <si>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</si>
  <si>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</si>
  <si>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</si>
  <si>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</si>
  <si>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</si>
  <si>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</si>
  <si>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</si>
  <si>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</si>
  <si>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</si>
  <si>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</si>
  <si>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</si>
  <si>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</si>
  <si>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</si>
  <si>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</si>
  <si>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</si>
  <si>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</si>
  <si>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</si>
  <si>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</si>
  <si>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</si>
  <si>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</si>
  <si>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</si>
  <si>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</si>
  <si>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</si>
  <si>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</si>
  <si>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</si>
  <si>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</si>
  <si>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</si>
  <si>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</si>
  <si>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</si>
  <si>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</si>
  <si>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</si>
  <si>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</si>
  <si>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</si>
  <si>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</si>
  <si>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</si>
  <si>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</si>
  <si>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</si>
  <si>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</si>
  <si>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</si>
  <si>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</si>
  <si>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</si>
  <si>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</si>
  <si>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</si>
  <si>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</si>
  <si>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</si>
  <si>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</si>
  <si>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</si>
  <si>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</si>
  <si>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</si>
  <si>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</si>
  <si>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</si>
  <si>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</si>
  <si>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</si>
  <si>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</si>
  <si>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</si>
  <si>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</si>
  <si>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</si>
  <si>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</si>
  <si>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</si>
  <si>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</si>
  <si>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</si>
  <si>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</si>
  <si>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</si>
  <si>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</si>
  <si>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</si>
  <si>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</si>
  <si>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</si>
  <si>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</si>
  <si>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</si>
  <si>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</si>
  <si>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</si>
  <si>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</si>
  <si>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</si>
  <si>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</si>
  <si>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</si>
  <si>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</si>
  <si>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</si>
  <si>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</si>
  <si>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</si>
  <si>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</si>
  <si>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</si>
  <si>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</si>
  <si>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</si>
  <si>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</si>
  <si>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</si>
  <si>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</si>
  <si>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</si>
  <si>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</si>
  <si>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</si>
  <si>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</si>
  <si>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</si>
  <si>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Difference</t>
  </si>
  <si>
    <t>Average</t>
  </si>
  <si>
    <t>Q1</t>
  </si>
  <si>
    <t>Q3</t>
  </si>
  <si>
    <t>IQR</t>
  </si>
  <si>
    <t>DIFFERENCE</t>
  </si>
  <si>
    <t>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</si>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</sst>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5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32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9" fontId="0" fillId="0" borderId="0" xfId="2" applyFont="1"/>
    <xf numFmtId="14" fontId="0" fillId="0" borderId="0" xfId="0" applyNumberFormat="1"/>
    <xf numFmtId="9" fontId="0" fillId="0" borderId="0" xfId="0" applyNumberFormat="1"/>
    <xf numFmtId="165" fontId="0" fillId="0" borderId="0" xfId="1" applyNumberFormat="1" applyFont="1"/>
    <xf numFmtId="14" fontId="1" fillId="0" borderId="1" xfId="0" applyNumberFormat="1" applyFont="1" applyBorder="1" applyAlignment="1">
      <alignment horizontal="center" vertical="top"/>
    </xf>
    <xf numFmtId="9" fontId="0" fillId="0" borderId="0" xfId="2" applyFont="1" applyFill="1"/>
    <xf numFmtId="165" fontId="0" fillId="0" borderId="0" xfId="1" applyNumberFormat="1" applyFont="1" applyFill="1"/>
    <xf numFmtId="0" fontId="1" fillId="0" borderId="3" xfId="0" applyFont="1" applyBorder="1" applyAlignment="1">
      <alignment horizontal="center"/>
    </xf>
    <xf numFmtId="165" fontId="0" fillId="0" borderId="3" xfId="1" applyNumberFormat="1" applyFont="1" applyFill="1" applyBorder="1"/>
    <xf numFmtId="165" fontId="0" fillId="0" borderId="3" xfId="1" applyNumberFormat="1" applyFont="1" applyBorder="1"/>
    <xf numFmtId="0" fontId="0" fillId="0" borderId="0" xfId="0" applyFill="1" applyBorder="1"/>
    <xf numFmtId="9" fontId="0" fillId="0" borderId="3" xfId="2" applyFont="1" applyFill="1" applyBorder="1"/>
    <xf numFmtId="9" fontId="0" fillId="0" borderId="3" xfId="0" applyNumberFormat="1" applyBorder="1"/>
    <xf numFmtId="165" fontId="0" fillId="0" borderId="0" xfId="0" applyNumberFormat="1"/>
    <xf numFmtId="165" fontId="0" fillId="0" borderId="0" xfId="1" applyNumberFormat="1" applyFont="1" applyFill="1" applyBorder="1"/>
    <xf numFmtId="165" fontId="0" fillId="0" borderId="0" xfId="1" applyNumberFormat="1" applyFont="1" applyBorder="1"/>
    <xf numFmtId="9" fontId="0" fillId="0" borderId="0" xfId="2" applyFont="1" applyFill="1" applyBorder="1"/>
    <xf numFmtId="9" fontId="0" fillId="0" borderId="0" xfId="0" applyNumberFormat="1" applyBorder="1"/>
    <xf numFmtId="0" fontId="0" fillId="0" borderId="0" xfId="0" applyFill="1" applyAlignment="1">
      <alignment horizontal="center"/>
    </xf>
    <xf numFmtId="0" fontId="0" fillId="0" borderId="3" xfId="0" applyFill="1" applyBorder="1" applyAlignment="1">
      <alignment horizontal="center"/>
    </xf>
    <xf numFmtId="1" fontId="1" fillId="0" borderId="3" xfId="1" applyNumberFormat="1" applyFont="1" applyFill="1" applyBorder="1" applyAlignment="1">
      <alignment horizontal="center"/>
    </xf>
    <xf numFmtId="0" fontId="1" fillId="0" borderId="4" xfId="0" applyFont="1" applyFill="1" applyBorder="1" applyAlignment="1">
      <alignment horizontal="right"/>
    </xf>
    <xf numFmtId="1" fontId="1" fillId="0" borderId="3" xfId="2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9" fontId="6" fillId="0" borderId="0" xfId="0" applyNumberFormat="1" applyFont="1"/>
    <xf numFmtId="165" fontId="6" fillId="0" borderId="0" xfId="1" applyNumberFormat="1" applyFont="1" applyFill="1"/>
  </cellXfs>
  <cellStyles count="3">
    <cellStyle name="Comma" xfId="1" builtinId="3"/>
    <cellStyle name="Normal" xfId="0" builtinId="0"/>
    <cellStyle name="Percent" xfId="2" builtinId="5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Daily Volume Over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'Volume Analysis'!$B$2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'Volume Analysis'!$A$3:$A$12</c:f>
              <c:strCache>
                <c:ptCount val="3"/>
                <c:pt idx="0">
                  <c:v>FSLR</c:v>
                </c:pt>
                <c:pt idx="1">
                  <c:v>RUN</c:v>
                </c:pt>
                <c:pt idx="2">
                  <c:v>SPWR</c:v>
                </c:pt>
              </c:strCache>
            </c:strRef>
          </c:cat>
          <c:val>
            <c:numRef>
              <c:f>'Volume Analysis'!$B$3:$B$12</c:f>
              <c:numCache>
                <c:formatCode>_(* #,##0_);_(* \(#,##0\);_(* "-"??_);_(@_)</c:formatCode>
                <c:ptCount val="3"/>
                <c:pt idx="0">
                  <c:v>684181400</c:v>
                </c:pt>
                <c:pt idx="1">
                  <c:v>267681300</c:v>
                </c:pt>
                <c:pt idx="2">
                  <c:v>782187000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1F-B648-AA7D-5B87EB6EDBC6}"/>
            </c:ext>
          </c:extLst>
        </c:ser>
        <c:ser>
          <c:idx val="1"/>
          <c:order val="1"/>
          <c:tx>
            <c:strRef>
              <c:f>'Volume Analysis'!$C$2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'Volume Analysis'!$A$3:$A$12</c:f>
              <c:strCache>
                <c:ptCount val="3"/>
                <c:pt idx="0">
                  <c:v>FSLR</c:v>
                </c:pt>
                <c:pt idx="1">
                  <c:v>RUN</c:v>
                </c:pt>
                <c:pt idx="2">
                  <c:v>SPWR</c:v>
                </c:pt>
              </c:strCache>
            </c:strRef>
          </c:cat>
          <c:val>
            <c:numRef>
              <c:f>'Volume Analysis'!$C$3:$C$12</c:f>
              <c:numCache>
                <c:formatCode>_(* #,##0_);_(* \(#,##0\);_(* "-"??_);_(@_)</c:formatCode>
                <c:ptCount val="3"/>
                <c:pt idx="0">
                  <c:v>478113900</c:v>
                </c:pt>
                <c:pt idx="1">
                  <c:v>502757100</c:v>
                </c:pt>
                <c:pt idx="2">
                  <c:v>538024300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1F-B648-AA7D-5B87EB6ED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7236159"/>
        <c:axId val="1277237807"/>
      </c:barChart>
      <c:catAx>
        <c:axId val="1277236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37807"/>
        <c:crosses val="autoZero"/>
        <c:auto val="1"/>
        <c:lblAlgn val="ctr"/>
        <c:lblOffset val="100"/>
        <c:noMultiLvlLbl val="0"/>
      </c:catAx>
      <c:valAx>
        <c:axId val="127723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36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Over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'Return Analysis'!$B$2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'Return Analysis'!$A$3:$A$11</c:f>
              <c:strCache>
                <c:ptCount val="2"/>
                <c:pt idx="0">
                  <c:v>ENPH</c:v>
                </c:pt>
                <c:pt idx="1">
                  <c:v>SEDG</c:v>
                </c:pt>
              </c:strCache>
            </c:strRef>
          </c:cat>
          <c:val>
            <c:numRef>
              <c:f>'Return Analysis'!$B$3:$B$11</c:f>
              <c:numCache>
                <c:formatCode>0%</c:formatCode>
                <c:ptCount val="2"/>
                <c:pt idx="0">
                  <c:v>1.2952382564544678</c:v>
                </c:pt>
                <c:pt idx="1">
                  <c:v>1.8446969985961914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D-4342-A506-31F82762CFCC}"/>
            </c:ext>
          </c:extLst>
        </c:ser>
        <c:ser>
          <c:idx val="1"/>
          <c:order val="1"/>
          <c:tx>
            <c:strRef>
              <c:f>'Return Analysis'!$C$2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'Return Analysis'!$A$3:$A$11</c:f>
              <c:strCache>
                <c:ptCount val="2"/>
                <c:pt idx="0">
                  <c:v>ENPH</c:v>
                </c:pt>
                <c:pt idx="1">
                  <c:v>SEDG</c:v>
                </c:pt>
              </c:strCache>
            </c:strRef>
          </c:cat>
          <c:val>
            <c:numRef>
              <c:f>'Return Analysis'!$C$3:$C$11</c:f>
              <c:numCache>
                <c:formatCode>0%</c:formatCode>
                <c:ptCount val="2"/>
                <c:pt idx="0">
                  <c:v>0.81923085451126099</c:v>
                </c:pt>
                <c:pt idx="1">
                  <c:v>-7.7529586851596832E-2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D-4342-A506-31F82762C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90076239"/>
        <c:axId val="1290077887"/>
      </c:barChart>
      <c:catAx>
        <c:axId val="1290076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0077887"/>
        <c:crosses val="autoZero"/>
        <c:auto val="1"/>
        <c:lblAlgn val="ctr"/>
        <c:lblOffset val="100"/>
        <c:noMultiLvlLbl val="0"/>
      </c:catAx>
      <c:valAx>
        <c:axId val="1290077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0076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6</xdr:row>
          <xdr:rowOff>101600</xdr:rowOff>
        </xdr:from>
        <xdr:to>
          <xdr:col>6</xdr:col>
          <xdr:colOff>406400</xdr:colOff>
          <xdr:row>8</xdr:row>
          <xdr:rowOff>101600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698500</xdr:colOff>
          <xdr:row>11</xdr:row>
          <xdr:rowOff>101600</xdr:rowOff>
        </xdr:from>
        <xdr:to>
          <xdr:col>6</xdr:col>
          <xdr:colOff>571500</xdr:colOff>
          <xdr:row>13</xdr:row>
          <xdr:rowOff>101600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711200</xdr:colOff>
          <xdr:row>4</xdr:row>
          <xdr:rowOff>101600</xdr:rowOff>
        </xdr:from>
        <xdr:to>
          <xdr:col>6</xdr:col>
          <xdr:colOff>584200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787400</xdr:colOff>
          <xdr:row>10</xdr:row>
          <xdr:rowOff>12700</xdr:rowOff>
        </xdr:from>
        <xdr:to>
          <xdr:col>6</xdr:col>
          <xdr:colOff>279400</xdr:colOff>
          <xdr:row>12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88900</xdr:colOff>
      <xdr:row>21</xdr:row>
      <xdr:rowOff>173567</xdr:rowOff>
    </xdr:from>
    <xdr:to>
      <xdr:col>4</xdr:col>
      <xdr:colOff>29633</xdr:colOff>
      <xdr:row>35</xdr:row>
      <xdr:rowOff>190500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C6363A-5839-8748-BDB1-938A938635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190499</xdr:colOff>
      <xdr:row>21</xdr:row>
      <xdr:rowOff>105833</xdr:rowOff>
    </xdr:from>
    <xdr:to>
      <xdr:col>4</xdr:col>
      <xdr:colOff>131232</xdr:colOff>
      <xdr:row>35</xdr:row>
      <xdr:rowOff>122766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A0BC3FC-80FD-6C41-B73C-F5253D6D39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50" workbookViewId="0">
      <selection activeCell="M260" sqref="M260"/>
    </sheetView>
  </sheetViews>
  <sheetFormatPr baseColWidth="10" defaultColWidth="8.83203125" defaultRowHeight="15" x14ac:dyDescent="0.2"/>
  <cols>
    <col min="2" max="2" width="10.5" style="7" bestFit="1" customWidth="1"/>
    <col min="3" max="3" width="8.83203125" customWidth="1"/>
  </cols>
  <sheetData>
    <row r="1" spans="1:8" x14ac:dyDescent="0.2">
      <c r="A1" s="1" t="s">
        <v>0</v>
      </c>
      <c r="B1" s="10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s="7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s="7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s="7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s="7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s="7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s="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s="7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s="7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s="7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s="7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s="7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s="7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s="7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s="7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s="7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s="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s="7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s="7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s="7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s="7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s="7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s="7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s="7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s="7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s="7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s="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s="7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s="7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s="7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s="7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s="7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s="7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s="7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s="7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s="7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s="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s="7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s="7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s="7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s="7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s="7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s="7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s="7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s="7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s="7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s="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s="7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s="7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s="7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s="7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s="7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s="7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s="7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s="7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s="7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s="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s="7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s="7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s="7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s="7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s="7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s="7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s="7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s="7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s="7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s="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s="7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s="7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s="7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s="7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s="7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s="7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s="7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s="7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s="7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s="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s="7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s="7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s="7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s="7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s="7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s="7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s="7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s="7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s="7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s="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s="7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s="7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s="7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s="7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s="7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s="7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s="7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s="7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s="7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s="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s="7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s="7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s="7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s="7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s="7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s="7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s="7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s="7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s="7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s="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s="7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s="7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s="7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s="7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s="7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s="7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s="7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s="7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s="7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s="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s="7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s="7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s="7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s="7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s="7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s="7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s="7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s="7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s="7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s="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s="7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s="7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s="7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s="7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s="7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s="7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s="7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s="7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s="7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s="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s="7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s="7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s="7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s="7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s="7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s="7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s="7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s="7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s="7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s="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s="7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s="7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s="7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s="7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s="7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s="7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s="7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s="7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s="7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s="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s="7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s="7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s="7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s="7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s="7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s="7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s="7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s="7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s="7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s="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s="7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s="7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s="7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s="7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s="7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s="7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s="7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s="7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s="7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s="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s="7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s="7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s="7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s="7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s="7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s="7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s="7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s="7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s="7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s="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s="7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s="7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s="7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s="7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s="7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s="7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s="7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s="7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s="7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s="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s="7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s="7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s="7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s="7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s="7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s="7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s="7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s="7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s="7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s="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s="7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s="7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s="7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s="7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s="7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s="7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s="7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s="7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s="7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s="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s="7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s="7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s="7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s="7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s="7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s="7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s="7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s="7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s="7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s="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s="7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s="7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s="7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s="7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s="7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s="7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s="7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s="7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s="7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s="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s="7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s="7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s="7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s="7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s="7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s="7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s="7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s="7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s="7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s="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s="7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s="7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s="7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s="7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s="7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s="7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s="7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s="7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s="7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s="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s="7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s="7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s="7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s="7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s="7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s="7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s="7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s="7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s="7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s="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s="7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s="7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s="7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s="7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s="7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s="7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s="7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s="7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s="7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s="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s="7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s="7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s="7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s="7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s="7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s="7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s="7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s="7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s="7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s="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s="7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s="7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s="7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s="7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s="7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s="7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s="7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s="7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s="7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s="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s="7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s="7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s="7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s="7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s="7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s="7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s="7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s="7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s="7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s="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s="7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s="7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s="7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s="7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s="7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s="7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s="7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s="7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s="7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s="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s="7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s="7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s="7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s="7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s="7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s="7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s="7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s="7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s="7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s="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s="7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s="7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s="7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s="7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s="7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s="7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s="7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s="7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s="7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s="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s="7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s="7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s="7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s="7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s="7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s="7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s="7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s="7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s="7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s="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s="7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s="7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s="7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s="7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s="7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s="7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s="7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s="7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s="7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s="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s="7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s="7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s="7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s="7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s="7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s="7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s="7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s="7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s="7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s="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s="7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s="7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s="7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s="7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s="7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s="7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s="7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s="7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s="7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s="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s="7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s="7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s="7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s="7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s="7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s="7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s="7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s="7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s="7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s="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s="7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s="7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s="7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s="7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s="7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s="7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s="7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s="7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s="7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s="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s="7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s="7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s="7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s="7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s="7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s="7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s="7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s="7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s="7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s="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s="7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s="7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s="7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s="7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s="7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s="7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s="7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s="7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s="7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s="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s="7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s="7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s="7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s="7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s="7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s="7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s="7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s="7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s="7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s="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s="7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s="7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s="7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s="7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s="7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s="7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s="7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s="7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s="7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s="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s="7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s="7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s="7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s="7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s="7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s="7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s="7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s="7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s="7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s="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s="7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s="7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s="7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s="7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s="7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s="7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s="7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s="7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s="7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s="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s="7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s="7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s="7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s="7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s="7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s="7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s="7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s="7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s="7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s="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s="7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s="7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s="7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s="7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s="7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s="7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s="7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s="7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s="7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s="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s="7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s="7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s="7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s="7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s="7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s="7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s="7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s="7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s="7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s="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s="7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s="7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s="7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s="7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s="7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s="7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s="7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s="7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s="7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s="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s="7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s="7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s="7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s="7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s="7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s="7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s="7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s="7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s="7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s="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s="7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s="7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s="7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s="7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s="7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s="7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s="7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s="7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s="7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s="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s="7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s="7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s="7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s="7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s="7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s="7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s="7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s="7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s="7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s="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s="7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s="7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s="7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s="7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s="7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s="7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s="7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s="7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s="7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s="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s="7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s="7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s="7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s="7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s="7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s="7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s="7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s="7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s="7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s="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s="7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s="7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s="7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s="7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s="7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s="7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s="7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s="7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s="7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s="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s="7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s="7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s="7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s="7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s="7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s="7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s="7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s="7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s="7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s="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s="7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s="7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s="7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s="7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s="7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s="7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s="7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s="7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s="7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s="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s="7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s="7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s="7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s="7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s="7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s="7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s="7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s="7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s="7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s="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s="7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s="7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s="7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s="7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s="7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s="7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s="7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s="7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s="7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s="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s="7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s="7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s="7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s="7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s="7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s="7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s="7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s="7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s="7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s="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s="7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s="7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s="7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s="7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s="7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s="7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s="7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s="7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s="7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s="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s="7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s="7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s="7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s="7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s="7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s="7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s="7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s="7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s="7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s="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s="7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s="7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s="7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s="7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s="7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s="7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s="7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s="7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s="7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s="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s="7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s="7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s="7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s="7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s="7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s="7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s="7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s="7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s="7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s="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s="7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s="7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s="7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s="7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s="7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s="7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s="7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s="7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s="7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s="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s="7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s="7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s="7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s="7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s="7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s="7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s="7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s="7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s="7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s="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s="7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s="7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s="7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s="7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s="7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s="7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s="7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s="7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s="7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s="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s="7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s="7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s="7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s="7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s="7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s="7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s="7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s="7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s="7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s="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s="7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s="7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s="7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s="7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s="7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s="7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s="7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s="7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s="7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s="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s="7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s="7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s="7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s="7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s="7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s="7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s="7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s="7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s="7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s="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s="7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s="7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s="7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s="7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s="7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s="7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s="7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s="7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s="7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s="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s="7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s="7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s="7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s="7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s="7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s="7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s="7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s="7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s="7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s="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s="7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s="7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s="7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s="7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s="7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s="7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s="7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s="7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s="7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s="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s="7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s="7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s="7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s="7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s="7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s="7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s="7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s="7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s="7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s="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s="7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s="7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s="7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s="7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s="7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s="7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s="7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s="7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s="7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s="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s="7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s="7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s="7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s="7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s="7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s="7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s="7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s="7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s="7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s="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s="7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s="7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s="7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s="7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s="7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s="7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s="7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s="7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s="7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s="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s="7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s="7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s="7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s="7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s="7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s="7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s="7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s="7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s="7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s="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s="7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s="7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s="7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s="7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s="7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s="7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s="7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s="7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s="7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s="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s="7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s="7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s="7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s="7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s="7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s="7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s="7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s="7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s="7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s="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s="7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s="7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s="7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s="7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s="7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s="7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s="7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s="7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s="7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s="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s="7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s="7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s="7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s="7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s="7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s="7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s="7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s="7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s="7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s="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s="7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s="7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s="7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s="7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s="7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s="7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s="7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s="7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s="7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s="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s="7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s="7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s="7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s="7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s="7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s="7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s="7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s="7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s="7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s="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s="7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s="7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s="7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s="7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s="7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s="7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s="7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s="7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s="7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s="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s="7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s="7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s="7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s="7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s="7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s="7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s="7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s="7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s="7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s="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s="7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s="7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s="7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s="7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s="7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s="7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s="7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s="7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s="7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s="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s="7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s="7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s="7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s="7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s="7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s="7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s="7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s="7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s="7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s="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s="7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s="7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s="7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s="7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s="7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s="7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s="7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s="7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s="7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s="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s="7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s="7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s="7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s="7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s="7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s="7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s="7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s="7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s="7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s="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s="7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s="7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s="7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s="7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s="7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s="7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s="7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s="7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s="7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s="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s="7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s="7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s="7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s="7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s="7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s="7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s="7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s="7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s="7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s="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s="7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s="7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s="7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s="7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s="7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s="7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s="7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s="7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s="7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s="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s="7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s="7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s="7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s="7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s="7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s="7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s="7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s="7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s="7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s="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s="7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s="7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s="7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s="7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s="7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s="7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s="7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s="7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s="7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s="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s="7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s="7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s="7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s="7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s="7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s="7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s="7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s="7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s="7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s="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s="7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s="7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s="7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s="7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s="7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s="7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s="7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s="7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s="7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s="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s="7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s="7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s="7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s="7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s="7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s="7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s="7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s="7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s="7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s="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s="7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s="7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s="7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s="7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s="7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s="7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s="7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s="7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s="7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s="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s="7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s="7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s="7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s="7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s="7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s="7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s="7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s="7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s="7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s="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s="7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s="7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s="7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s="7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s="7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s="7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s="7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s="7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s="7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s="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s="7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s="7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s="7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s="7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s="7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s="7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s="7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s="7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s="7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s="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s="7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s="7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s="7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s="7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s="7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s="7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s="7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s="7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s="7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s="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s="7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s="7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s="7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s="7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s="7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s="7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s="7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s="7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s="7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s="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s="7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s="7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s="7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s="7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s="7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s="7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s="7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s="7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s="7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s="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s="7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s="7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s="7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s="7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s="7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s="7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s="7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s="7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s="7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s="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s="7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s="7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s="7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s="7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s="7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s="7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s="7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s="7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s="7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s="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s="7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s="7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s="7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s="7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s="7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s="7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s="7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s="7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s="7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s="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s="7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s="7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s="7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s="7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s="7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s="7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s="7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s="7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s="7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s="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s="7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s="7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s="7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s="7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s="7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s="7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s="7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s="7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s="7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s="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s="7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s="7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s="7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s="7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s="7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s="7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s="7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s="7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s="7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s="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s="7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s="7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s="7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s="7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s="7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s="7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s="7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s="7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s="7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s="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s="7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s="7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s="7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s="7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s="7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s="7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s="7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s="7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s="7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s="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s="7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s="7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s="7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s="7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s="7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s="7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s="7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s="7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s="7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s="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s="7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s="7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s="7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s="7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s="7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s="7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s="7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s="7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s="7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s="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s="7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s="7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s="7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s="7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s="7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s="7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s="7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s="7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s="7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s="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s="7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s="7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s="7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s="7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s="7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s="7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s="7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s="7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s="7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s="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s="7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s="7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s="7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s="7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s="7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s="7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s="7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s="7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s="7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s="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s="7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s="7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s="7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s="7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s="7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s="7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s="7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s="7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s="7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s="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s="7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s="7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s="7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s="7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s="7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s="7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s="7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s="7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s="7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s="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s="7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s="7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s="7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s="7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s="7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s="7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s="7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s="7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s="7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s="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s="7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s="7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s="7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s="7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s="7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s="7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s="7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s="7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s="7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s="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s="7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s="7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s="7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s="7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s="7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s="7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s="7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s="7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s="7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s="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s="7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s="7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s="7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s="7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s="7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s="7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s="7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s="7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s="7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s="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s="7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s="7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s="7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s="7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s="7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s="7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s="7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s="7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s="7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s="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s="7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s="7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s="7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s="7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s="7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s="7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s="7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s="7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s="7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s="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s="7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s="7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s="7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s="7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s="7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s="7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s="7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s="7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s="7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s="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s="7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s="7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s="7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s="7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s="7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s="7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s="7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s="7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s="7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s="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s="7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s="7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s="7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s="7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s="7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s="7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s="7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s="7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s="7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s="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s="7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s="7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s="7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s="7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s="7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s="7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s="7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s="7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s="7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s="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s="7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s="7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s="7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s="7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s="7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s="7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s="7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s="7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s="7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s="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s="7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s="7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s="7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s="7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s="7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s="7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s="7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s="7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s="7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s="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s="7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s="7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s="7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s="7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s="7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s="7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s="7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s="7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s="7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s="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s="7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s="7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s="7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s="7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s="7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s="7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s="7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s="7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s="7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s="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s="7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s="7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s="7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s="7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s="7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s="7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s="7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s="7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s="7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s="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s="7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s="7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s="7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s="7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s="7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s="7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s="7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s="7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s="7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s="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s="7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s="7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s="7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s="7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s="7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s="7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s="7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s="7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s="7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s="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s="7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s="7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s="7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s="7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s="7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s="7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s="7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s="7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s="7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s="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s="7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s="7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s="7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s="7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s="7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s="7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s="7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s="7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s="7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s="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s="7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s="7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s="7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s="7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s="7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s="7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s="7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s="7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s="7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s="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s="7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s="7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s="7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s="7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s="7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s="7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s="7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s="7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s="7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s="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s="7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s="7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s="7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s="7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s="7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s="7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s="7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s="7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s="7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s="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s="7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s="7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s="7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s="7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s="7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s="7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s="7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s="7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s="7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s="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s="7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s="7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s="7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s="7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s="7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s="7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s="7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s="7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s="7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s="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s="7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s="7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s="7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s="7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s="7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s="7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s="7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s="7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s="7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s="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s="7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s="7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s="7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s="7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s="7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s="7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s="7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s="7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s="7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s="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s="7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s="7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s="7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s="7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s="7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s="7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s="7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s="7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s="7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s="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s="7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s="7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s="7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s="7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s="7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s="7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s="7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s="7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s="7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s="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s="7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s="7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s="7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s="7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s="7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s="7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s="7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s="7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s="7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s="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s="7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s="7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s="7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s="7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s="7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s="7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s="7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s="7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s="7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s="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s="7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s="7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s="7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s="7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s="7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s="7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s="7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s="7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s="7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s="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s="7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s="7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s="7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s="7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s="7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s="7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s="7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s="7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s="7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s="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s="7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s="7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s="7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s="7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s="7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s="7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s="7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s="7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s="7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s="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s="7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s="7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s="7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s="7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s="7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s="7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s="7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s="7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s="7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s="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s="7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s="7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s="7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s="7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s="7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s="7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s="7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s="7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s="7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s="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s="7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s="7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s="7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s="7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s="7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s="7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s="7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s="7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s="7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s="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s="7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s="7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s="7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s="7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s="7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s="7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s="7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s="7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s="7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s="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s="7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s="7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s="7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s="7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s="7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s="7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s="7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s="7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s="7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s="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s="7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s="7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s="7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s="7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s="7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s="7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s="7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s="7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s="7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s="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s="7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s="7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s="7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s="7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s="7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s="7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s="7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s="7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s="7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s="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s="7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s="7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s="7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s="7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s="7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s="7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s="7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s="7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s="7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s="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s="7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s="7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s="7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s="7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s="7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s="7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s="7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s="7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s="7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s="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s="7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s="7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s="7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s="7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s="7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s="7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s="7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s="7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s="7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s="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s="7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s="7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s="7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s="7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s="7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s="7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s="7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s="7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s="7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s="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s="7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s="7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s="7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s="7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s="7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s="7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s="7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s="7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s="7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s="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s="7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s="7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s="7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s="7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s="7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s="7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s="7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s="7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s="7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s="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s="7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s="7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s="7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s="7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s="7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s="7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s="7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s="7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s="7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s="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s="7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s="7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s="7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s="7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s="7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s="7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s="7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s="7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s="7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s="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s="7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s="7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s="7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s="7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s="7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s="7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s="7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s="7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s="7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s="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s="7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s="7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s="7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s="7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s="7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s="7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s="7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s="7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s="7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s="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s="7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s="7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s="7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s="7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s="7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s="7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s="7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s="7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s="7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s="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s="7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s="7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s="7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s="7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s="7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s="7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s="7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s="7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s="7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s="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s="7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s="7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s="7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s="7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s="7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s="7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s="7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s="7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s="7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s="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s="7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s="7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s="7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s="7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s="7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s="7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s="7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s="7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s="7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s="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s="7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s="7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s="7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s="7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s="7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s="7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s="7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s="7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s="7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s="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s="7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s="7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s="7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s="7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s="7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s="7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s="7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s="7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s="7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s="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s="7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s="7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s="7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s="7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s="7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s="7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s="7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s="7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s="7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s="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s="7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s="7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s="7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s="7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s="7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s="7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s="7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s="7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s="7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s="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s="7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s="7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s="7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s="7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s="7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s="7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s="7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s="7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s="7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s="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s="7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s="7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s="7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s="7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s="7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s="7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s="7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s="7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s="7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s="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s="7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s="7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s="7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s="7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s="7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s="7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s="7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s="7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s="7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s="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s="7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s="7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s="7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s="7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s="7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s="7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s="7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s="7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s="7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s="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s="7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s="7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s="7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s="7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s="7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s="7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s="7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s="7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s="7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s="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s="7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s="7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s="7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s="7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s="7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s="7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s="7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s="7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s="7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s="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s="7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s="7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s="7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s="7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s="7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s="7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s="7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s="7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s="7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s="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s="7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s="7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s="7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s="7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s="7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s="7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s="7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s="7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s="7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s="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s="7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s="7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s="7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s="7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s="7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s="7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s="7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s="7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s="7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s="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s="7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s="7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s="7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s="7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s="7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s="7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s="7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s="7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s="7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s="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s="7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s="7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s="7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s="7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s="7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s="7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s="7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s="7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s="7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s="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s="7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s="7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s="7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s="7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s="7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s="7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s="7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s="7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s="7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s="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s="7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s="7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s="7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s="7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s="7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s="7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s="7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s="7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s="7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s="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s="7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s="7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s="7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s="7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s="7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s="7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s="7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s="7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s="7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s="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s="7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s="7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s="7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s="7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s="7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s="7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s="7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s="7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s="7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s="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s="7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s="7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s="7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s="7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s="7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s="7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s="7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s="7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s="7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s="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s="7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s="7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s="7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s="7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s="7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s="7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s="7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s="7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s="7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s="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s="7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s="7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s="7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s="7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s="7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s="7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s="7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s="7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s="7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s="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s="7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s="7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s="7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s="7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s="7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s="7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s="7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s="7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s="7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s="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s="7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s="7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s="7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s="7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s="7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s="7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s="7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s="7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s="7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s="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s="7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s="7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s="7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s="7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s="7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s="7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s="7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s="7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s="7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s="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s="7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s="7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s="7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s="7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s="7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s="7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s="7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s="7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s="7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s="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s="7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s="7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s="7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s="7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s="7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s="7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s="7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s="7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s="7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s="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s="7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s="7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s="7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s="7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s="7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s="7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s="7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s="7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s="7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s="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s="7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s="7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s="7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s="7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s="7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s="7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s="7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s="7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s="7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s="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s="7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s="7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s="7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s="7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s="7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s="7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s="7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s="7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s="7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s="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s="7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s="7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s="7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s="7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s="7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s="7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s="7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s="7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s="7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s="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s="7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s="7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s="7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s="7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s="7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s="7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s="7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s="7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s="7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s="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s="7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s="7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s="7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s="7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s="7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s="7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s="7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s="7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s="7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s="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s="7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s="7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s="7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s="7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s="7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s="7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s="7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s="7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s="7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s="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s="7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s="7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s="7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s="7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s="7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s="7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s="7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s="7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s="7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s="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s="7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s="7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s="7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s="7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s="7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s="7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s="7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s="7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s="7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s="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s="7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s="7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s="7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s="7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s="7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s="7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s="7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s="7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s="7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s="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s="7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s="7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s="7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s="7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s="7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s="7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s="7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s="7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s="7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s="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s="7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s="7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s="7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s="7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s="7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s="7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s="7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s="7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s="7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s="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s="7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s="7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s="7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s="7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s="7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s="7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s="7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s="7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s="7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s="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s="7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s="7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s="7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s="7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s="7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s="7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s="7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s="7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s="7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s="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s="7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s="7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s="7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s="7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s="7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s="7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s="7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s="7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s="7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s="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s="7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s="7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s="7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s="7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s="7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s="7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s="7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s="7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s="7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s="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s="7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s="7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s="7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s="7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s="7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s="7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s="7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s="7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s="7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s="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s="7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s="7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s="7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s="7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s="7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s="7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s="7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s="7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s="7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s="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s="7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s="7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s="7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s="7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s="7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s="7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s="7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s="7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s="7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s="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s="7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s="7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s="7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s="7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s="7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s="7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s="7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s="7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s="7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s="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s="7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s="7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s="7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s="7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s="7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s="7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s="7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s="7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s="7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s="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s="7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s="7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s="7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s="7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s="7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s="7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s="7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s="7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s="7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s="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s="7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s="7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s="7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s="7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s="7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s="7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s="7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s="7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s="7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s="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s="7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s="7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s="7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s="7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s="7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s="7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s="7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s="7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s="7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s="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s="7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s="7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s="7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s="7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s="7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s="7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s="7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s="7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s="7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s="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s="7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s="7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s="7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s="7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s="7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s="7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s="7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s="7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s="7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s="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s="7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s="7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s="7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s="7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s="7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s="7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s="7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s="7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s="7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s="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s="7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s="7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s="7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s="7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s="7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s="7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s="7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s="7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s="7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s="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s="7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s="7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s="7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s="7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s="7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s="7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s="7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s="7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s="7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s="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s="7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s="7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s="7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s="7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s="7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s="7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s="7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s="7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s="7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s="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s="7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s="7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s="7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s="7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s="7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s="7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s="7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s="7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s="7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s="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s="7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s="7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s="7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s="7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s="7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s="7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s="7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s="7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s="7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s="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s="7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s="7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s="7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s="7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s="7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s="7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s="7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s="7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s="7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s="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s="7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s="7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s="7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s="7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s="7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s="7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s="7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s="7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s="7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s="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s="7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s="7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s="7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s="7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s="7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s="7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s="7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s="7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s="7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s="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s="7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s="7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s="7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s="7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s="7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s="7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s="7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s="7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s="7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s="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s="7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s="7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s="7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s="7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s="7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s="7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s="7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s="7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s="7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s="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s="7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s="7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s="7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s="7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s="7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s="7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s="7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s="7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s="7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s="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s="7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s="7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s="7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s="7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s="7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s="7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s="7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s="7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s="7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s="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s="7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s="7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s="7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s="7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s="7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s="7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s="7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s="7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s="7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s="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s="7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s="7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s="7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s="7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s="7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s="7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s="7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s="7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s="7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s="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s="7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s="7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s="7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s="7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s="7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s="7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s="7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s="7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s="7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s="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s="7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s="7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s="7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s="7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s="7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s="7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s="7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s="7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s="7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s="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s="7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s="7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s="7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s="7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s="7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s="7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s="7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s="7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s="7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s="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s="7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s="7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s="7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s="7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s="7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s="7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s="7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s="7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s="7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s="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s="7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s="7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s="7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s="7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s="7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s="7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s="7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s="7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s="7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s="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s="7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s="7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s="7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s="7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s="7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s="7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s="7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s="7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s="7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s="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s="7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s="7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s="7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s="7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s="7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s="7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s="7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s="7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s="7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s="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s="7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s="7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s="7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s="7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s="7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s="7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s="7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s="7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s="7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s="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s="7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s="7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s="7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s="7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s="7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s="7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s="7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s="7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s="7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s="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s="7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s="7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s="7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s="7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s="7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s="7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s="7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s="7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s="7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s="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s="7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s="7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s="7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s="7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s="7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s="7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s="7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s="7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s="7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s="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s="7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s="7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s="7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s="7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s="7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s="7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s="7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s="7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s="7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s="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s="7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s="7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s="7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s="7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s="7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s="7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s="7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s="7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s="7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s="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s="7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s="7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s="7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s="7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s="7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s="7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s="7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s="7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s="7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s="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s="7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s="7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s="7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s="7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s="7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s="7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s="7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s="7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s="7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s="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s="7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s="7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s="7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s="7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s="7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s="7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s="7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s="7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s="7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s="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s="7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s="7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s="7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s="7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s="7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s="7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s="7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s="7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s="7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s="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s="7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s="7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s="7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s="7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s="7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s="7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s="7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s="7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s="7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s="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s="7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s="7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s="7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s="7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s="7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s="7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s="7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s="7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s="7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s="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s="7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s="7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s="7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s="7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s="7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s="7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s="7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s="7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s="7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s="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s="7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s="7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s="7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s="7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s="7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s="7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s="7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s="7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s="7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s="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s="7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s="7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s="7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s="7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s="7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s="7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s="7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s="7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s="7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s="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s="7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s="7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s="7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s="7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s="7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s="7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s="7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s="7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s="7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s="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s="7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s="7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s="7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s="7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s="7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s="7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s="7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s="7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s="7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s="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s="7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s="7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s="7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s="7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s="7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s="7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s="7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s="7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s="7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s="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s="7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s="7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s="7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s="7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s="7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s="7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s="7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s="7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s="7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s="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s="7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s="7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s="7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s="7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s="7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s="7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s="7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s="7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s="7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s="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s="7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s="7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s="7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s="7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s="7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s="7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s="7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s="7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s="7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s="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s="7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s="7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s="7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s="7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s="7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s="7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s="7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s="7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s="7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s="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s="7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s="7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s="7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s="7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s="7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s="7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s="7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s="7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s="7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s="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s="7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s="7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s="7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s="7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s="7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s="7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s="7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s="7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s="7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s="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s="7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s="7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s="7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s="7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s="7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s="7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s="7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s="7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s="7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s="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s="7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s="7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s="7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s="7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s="7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s="7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s="7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s="7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s="7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s="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s="7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s="7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s="7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s="7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s="7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s="7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s="7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s="7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s="7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s="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s="7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s="7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s="7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s="7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s="7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s="7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s="7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s="7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s="7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s="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s="7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s="7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s="7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s="7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s="7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s="7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s="7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s="7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s="7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s="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s="7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s="7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s="7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s="7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s="7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s="7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s="7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s="7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s="7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s="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s="7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s="7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s="7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s="7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s="7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s="7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s="7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s="7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s="7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s="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s="7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s="7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s="7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s="7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s="7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s="7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s="7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s="7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s="7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s="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s="7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s="7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s="7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s="7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s="7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s="7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s="7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s="7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s="7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s="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s="7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s="7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s="7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s="7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s="7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s="7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s="7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s="7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s="7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s="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s="7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s="7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s="7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s="7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s="7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s="7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s="7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s="7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s="7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s="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s="7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s="7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s="7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s="7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s="7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s="7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s="7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s="7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s="7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s="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s="7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s="7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s="7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s="7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s="7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s="7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s="7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s="7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s="7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s="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s="7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s="7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s="7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s="7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s="7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s="7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s="7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s="7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s="7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s="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s="7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s="7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s="7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s="7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s="7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s="7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s="7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s="7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s="7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s="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s="7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s="7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s="7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s="7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s="7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s="7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s="7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s="7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s="7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s="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s="7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s="7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s="7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s="7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s="7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s="7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s="7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s="7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s="7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s="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s="7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s="7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s="7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s="7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s="7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s="7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s="7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s="7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s="7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s="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s="7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s="7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s="7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s="7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s="7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s="7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s="7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s="7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s="7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s="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s="7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s="7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s="7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s="7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s="7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s="7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s="7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s="7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s="7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s="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s="7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s="7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s="7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s="7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s="7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s="7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s="7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s="7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s="7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s="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s="7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s="7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s="7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s="7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s="7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s="7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s="7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s="7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s="7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s="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s="7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s="7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s="7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s="7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s="7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s="7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s="7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s="7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s="7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s="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s="7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s="7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s="7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s="7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s="7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s="7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s="7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s="7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s="7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s="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s="7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s="7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s="7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s="7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s="7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s="7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s="7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s="7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s="7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s="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s="7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s="7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s="7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s="7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s="7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s="7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s="7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s="7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s="7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s="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s="7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s="7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s="7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s="7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s="7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s="7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s="7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s="7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s="7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s="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s="7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s="7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s="7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s="7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s="7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s="7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G504" sqref="G504"/>
    </sheetView>
  </sheetViews>
  <sheetFormatPr baseColWidth="10" defaultColWidth="8.83203125" defaultRowHeight="15" x14ac:dyDescent="0.2"/>
  <cols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30DB9-34DB-B741-B647-6707BD27EFB2}">
  <sheetPr codeName="Sheet3"/>
  <dimension ref="A1:C4"/>
  <sheetViews>
    <sheetView zoomScale="150" zoomScaleNormal="150" workbookViewId="0">
      <selection activeCell="C4" sqref="C4"/>
    </sheetView>
  </sheetViews>
  <sheetFormatPr baseColWidth="10" defaultColWidth="11.5" defaultRowHeight="15" x14ac:dyDescent="0.2"/>
  <cols>
    <col min="1" max="1" width="14.6640625" bestFit="1" customWidth="1"/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QAnalysis">
                <anchor moveWithCells="1" sizeWithCells="1">
                  <from>
                    <xdr:col>4</xdr:col>
                    <xdr:colOff>533400</xdr:colOff>
                    <xdr:row>6</xdr:row>
                    <xdr:rowOff>101600</xdr:rowOff>
                  </from>
                  <to>
                    <xdr:col>6</xdr:col>
                    <xdr:colOff>406400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698500</xdr:colOff>
                    <xdr:row>11</xdr:row>
                    <xdr:rowOff>101600</xdr:rowOff>
                  </from>
                  <to>
                    <xdr:col>6</xdr:col>
                    <xdr:colOff>571500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A6762-9EE0-C74F-978C-181E68934B2B}">
  <sheetPr codeName="Sheet4"/>
  <dimension ref="A1:C15"/>
  <sheetViews>
    <sheetView zoomScale="150" zoomScaleNormal="150" workbookViewId="0">
      <selection activeCell="D14" sqref="D14"/>
    </sheetView>
  </sheetViews>
  <sheetFormatPr baseColWidth="10" defaultColWidth="11.5" defaultRowHeight="15" x14ac:dyDescent="0.2"/>
  <cols>
    <col min="1" max="1" width="14" bestFit="1" customWidth="1"/>
    <col min="2" max="2" width="18" bestFit="1" customWidth="1"/>
    <col min="3" max="3" width="15.6640625" bestFit="1" customWidth="1"/>
  </cols>
  <sheetData>
    <row r="1" spans="1:3" x14ac:dyDescent="0.2">
      <c r="A1" t="s">
        <v>526</v>
      </c>
    </row>
    <row r="3" spans="1:3" x14ac:dyDescent="0.2">
      <c r="A3" s="2" t="s">
        <v>0</v>
      </c>
      <c r="B3" s="2" t="s">
        <v>524</v>
      </c>
      <c r="C3" s="2" t="s">
        <v>525</v>
      </c>
    </row>
    <row r="4" spans="1:3" x14ac:dyDescent="0.2">
      <c r="A4" t="s">
        <v>8</v>
      </c>
      <c r="B4" s="3">
        <v>83079900</v>
      </c>
      <c r="C4" s="5">
        <v>-7.2847634553909302E-2</v>
      </c>
    </row>
    <row r="5" spans="1:3" x14ac:dyDescent="0.2">
      <c r="A5" t="s">
        <v>9</v>
      </c>
      <c r="B5" s="3">
        <v>200879900</v>
      </c>
      <c r="C5" s="5">
        <v>-0.16336052119731903</v>
      </c>
    </row>
    <row r="6" spans="1:3" x14ac:dyDescent="0.2">
      <c r="A6" t="s">
        <v>10</v>
      </c>
      <c r="B6" s="3">
        <v>107873900</v>
      </c>
      <c r="C6" s="5">
        <v>-0.62601888179779053</v>
      </c>
    </row>
    <row r="7" spans="1:3" x14ac:dyDescent="0.2">
      <c r="A7" t="s">
        <v>11</v>
      </c>
      <c r="B7" s="3">
        <v>607473500</v>
      </c>
      <c r="C7" s="4">
        <v>0.81923085451126099</v>
      </c>
    </row>
    <row r="8" spans="1:3" x14ac:dyDescent="0.2">
      <c r="A8" t="s">
        <v>12</v>
      </c>
      <c r="B8" s="3">
        <v>478113900</v>
      </c>
      <c r="C8" s="5">
        <v>-0.39713191986083984</v>
      </c>
    </row>
    <row r="9" spans="1:3" x14ac:dyDescent="0.2">
      <c r="A9" t="s">
        <v>13</v>
      </c>
      <c r="B9" s="3">
        <v>104340600</v>
      </c>
      <c r="C9" s="5">
        <v>-0.20658062398433685</v>
      </c>
    </row>
    <row r="10" spans="1:3" x14ac:dyDescent="0.2">
      <c r="A10" t="s">
        <v>14</v>
      </c>
      <c r="B10" s="3">
        <v>158309000</v>
      </c>
      <c r="C10" s="5">
        <v>-0.6053471565246582</v>
      </c>
    </row>
    <row r="11" spans="1:3" x14ac:dyDescent="0.2">
      <c r="A11" t="s">
        <v>15</v>
      </c>
      <c r="B11" s="3">
        <v>502757100</v>
      </c>
      <c r="C11" s="4">
        <v>0.83952707052230835</v>
      </c>
    </row>
    <row r="12" spans="1:3" x14ac:dyDescent="0.2">
      <c r="A12" t="s">
        <v>16</v>
      </c>
      <c r="B12" s="3">
        <v>237212300</v>
      </c>
      <c r="C12" s="5">
        <v>-7.7529586851596832E-2</v>
      </c>
    </row>
    <row r="13" spans="1:3" x14ac:dyDescent="0.2">
      <c r="A13" t="s">
        <v>17</v>
      </c>
      <c r="B13" s="3">
        <v>538024300</v>
      </c>
      <c r="C13" s="5">
        <v>-0.44593092799186707</v>
      </c>
    </row>
    <row r="14" spans="1:3" x14ac:dyDescent="0.2">
      <c r="A14" t="s">
        <v>18</v>
      </c>
      <c r="B14" s="3">
        <v>151434700</v>
      </c>
      <c r="C14" s="5">
        <v>-4.9957673996686935E-2</v>
      </c>
    </row>
    <row r="15" spans="1:3" x14ac:dyDescent="0.2">
      <c r="A15" t="s">
        <v>19</v>
      </c>
      <c r="B15" s="3">
        <v>136539100</v>
      </c>
      <c r="C15" s="5">
        <v>-3.5443063825368881E-2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711200</xdr:colOff>
                    <xdr:row>4</xdr:row>
                    <xdr:rowOff>101600</xdr:rowOff>
                  </from>
                  <to>
                    <xdr:col>6</xdr:col>
                    <xdr:colOff>584200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787400</xdr:colOff>
                    <xdr:row>10</xdr:row>
                    <xdr:rowOff>12700</xdr:rowOff>
                  </from>
                  <to>
                    <xdr:col>6</xdr:col>
                    <xdr:colOff>279400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197E7-43C1-417A-9295-A8CBED3A3452}">
  <sheetPr codeName="Sheet5" filterMode="1"/>
  <dimension ref="A1:D20"/>
  <sheetViews>
    <sheetView tabSelected="1" zoomScale="150" zoomScaleNormal="150" workbookViewId="0">
      <selection activeCell="F25" sqref="F25"/>
    </sheetView>
  </sheetViews>
  <sheetFormatPr baseColWidth="10" defaultColWidth="8.83203125" defaultRowHeight="15" x14ac:dyDescent="0.2"/>
  <cols>
    <col min="1" max="1" width="10.83203125" bestFit="1" customWidth="1"/>
    <col min="2" max="2" width="17.33203125" bestFit="1" customWidth="1"/>
    <col min="3" max="3" width="17.33203125" style="6" bestFit="1" customWidth="1"/>
    <col min="4" max="4" width="15.1640625" bestFit="1" customWidth="1"/>
  </cols>
  <sheetData>
    <row r="1" spans="1:4" ht="19" x14ac:dyDescent="0.25">
      <c r="B1" s="29" t="s">
        <v>533</v>
      </c>
      <c r="C1" s="29"/>
      <c r="D1" s="29"/>
    </row>
    <row r="2" spans="1:4" ht="16" thickBot="1" x14ac:dyDescent="0.25">
      <c r="A2" s="13"/>
      <c r="B2" s="13">
        <v>2017</v>
      </c>
      <c r="C2" s="13">
        <v>2018</v>
      </c>
      <c r="D2" s="13" t="s">
        <v>532</v>
      </c>
    </row>
    <row r="3" spans="1:4" hidden="1" x14ac:dyDescent="0.2">
      <c r="A3" s="24" t="s">
        <v>8</v>
      </c>
      <c r="B3" s="12">
        <v>136070900</v>
      </c>
      <c r="C3" s="12">
        <v>83079900</v>
      </c>
      <c r="D3" s="9">
        <f>+C3-B3</f>
        <v>-52991000</v>
      </c>
    </row>
    <row r="4" spans="1:4" hidden="1" x14ac:dyDescent="0.2">
      <c r="A4" s="24" t="s">
        <v>9</v>
      </c>
      <c r="B4" s="12">
        <v>310592800</v>
      </c>
      <c r="C4" s="12">
        <v>200879900</v>
      </c>
      <c r="D4" s="9">
        <f t="shared" ref="D4:D14" si="0">+C4-B4</f>
        <v>-109712900</v>
      </c>
    </row>
    <row r="5" spans="1:4" hidden="1" x14ac:dyDescent="0.2">
      <c r="A5" s="24" t="s">
        <v>10</v>
      </c>
      <c r="B5" s="12">
        <v>35796200</v>
      </c>
      <c r="C5" s="12">
        <v>107873900</v>
      </c>
      <c r="D5" s="9">
        <f t="shared" si="0"/>
        <v>72077700</v>
      </c>
    </row>
    <row r="6" spans="1:4" hidden="1" x14ac:dyDescent="0.2">
      <c r="A6" s="24" t="s">
        <v>11</v>
      </c>
      <c r="B6" s="12">
        <v>221772100</v>
      </c>
      <c r="C6" s="12">
        <v>607473500</v>
      </c>
      <c r="D6" s="9">
        <f t="shared" si="0"/>
        <v>385701400</v>
      </c>
    </row>
    <row r="7" spans="1:4" x14ac:dyDescent="0.2">
      <c r="A7" s="24" t="s">
        <v>12</v>
      </c>
      <c r="B7" s="12">
        <v>684181400</v>
      </c>
      <c r="C7" s="12">
        <v>478113900</v>
      </c>
      <c r="D7" s="9">
        <f t="shared" si="0"/>
        <v>-206067500</v>
      </c>
    </row>
    <row r="8" spans="1:4" hidden="1" x14ac:dyDescent="0.2">
      <c r="A8" s="24" t="s">
        <v>13</v>
      </c>
      <c r="B8" s="12">
        <v>80949300</v>
      </c>
      <c r="C8" s="12">
        <v>104340600</v>
      </c>
      <c r="D8" s="9">
        <f t="shared" si="0"/>
        <v>23391300</v>
      </c>
    </row>
    <row r="9" spans="1:4" hidden="1" x14ac:dyDescent="0.2">
      <c r="A9" s="24" t="s">
        <v>14</v>
      </c>
      <c r="B9" s="12">
        <v>191632200</v>
      </c>
      <c r="C9" s="12">
        <v>158309000</v>
      </c>
      <c r="D9" s="9">
        <f t="shared" si="0"/>
        <v>-33323200</v>
      </c>
    </row>
    <row r="10" spans="1:4" x14ac:dyDescent="0.2">
      <c r="A10" s="24" t="s">
        <v>15</v>
      </c>
      <c r="B10" s="12">
        <v>267681300</v>
      </c>
      <c r="C10" s="12">
        <v>502757100</v>
      </c>
      <c r="D10" s="9">
        <f t="shared" si="0"/>
        <v>235075800</v>
      </c>
    </row>
    <row r="11" spans="1:4" hidden="1" x14ac:dyDescent="0.2">
      <c r="A11" s="24" t="s">
        <v>16</v>
      </c>
      <c r="B11" s="12">
        <v>206885200</v>
      </c>
      <c r="C11" s="12">
        <v>237212300</v>
      </c>
      <c r="D11" s="9">
        <f t="shared" si="0"/>
        <v>30327100</v>
      </c>
    </row>
    <row r="12" spans="1:4" x14ac:dyDescent="0.2">
      <c r="A12" s="24" t="s">
        <v>17</v>
      </c>
      <c r="B12" s="12">
        <v>782187000</v>
      </c>
      <c r="C12" s="12">
        <v>538024300</v>
      </c>
      <c r="D12" s="9">
        <f t="shared" si="0"/>
        <v>-244162700</v>
      </c>
    </row>
    <row r="13" spans="1:4" hidden="1" x14ac:dyDescent="0.2">
      <c r="A13" s="24" t="s">
        <v>18</v>
      </c>
      <c r="B13" s="12">
        <v>139402800</v>
      </c>
      <c r="C13" s="12">
        <v>151434700</v>
      </c>
      <c r="D13" s="9">
        <f t="shared" si="0"/>
        <v>12031900</v>
      </c>
    </row>
    <row r="14" spans="1:4" ht="16" hidden="1" thickBot="1" x14ac:dyDescent="0.25">
      <c r="A14" s="25" t="s">
        <v>19</v>
      </c>
      <c r="B14" s="14">
        <v>109487900</v>
      </c>
      <c r="C14" s="14">
        <v>136539100</v>
      </c>
      <c r="D14" s="15">
        <f t="shared" si="0"/>
        <v>27051200</v>
      </c>
    </row>
    <row r="15" spans="1:4" x14ac:dyDescent="0.2">
      <c r="A15" s="16"/>
      <c r="B15" s="20"/>
      <c r="C15" s="20"/>
      <c r="D15" s="21"/>
    </row>
    <row r="16" spans="1:4" ht="16" thickBot="1" x14ac:dyDescent="0.25">
      <c r="A16" s="16"/>
      <c r="B16" s="26">
        <v>2017</v>
      </c>
      <c r="C16" s="26">
        <v>2018</v>
      </c>
      <c r="D16" s="21"/>
    </row>
    <row r="17" spans="1:4" x14ac:dyDescent="0.2">
      <c r="A17" s="27" t="s">
        <v>528</v>
      </c>
      <c r="B17" s="31">
        <f>AVERAGE(B3:B14)</f>
        <v>263886591.66666666</v>
      </c>
      <c r="C17" s="31">
        <f>AVERAGE(C3:C14)</f>
        <v>275503183.33333331</v>
      </c>
      <c r="D17" s="9"/>
    </row>
    <row r="18" spans="1:4" x14ac:dyDescent="0.2">
      <c r="A18" s="27" t="s">
        <v>529</v>
      </c>
      <c r="B18" s="12">
        <f>_xlfn.QUARTILE.EXC($B$3:$B$14,1)</f>
        <v>116133650</v>
      </c>
      <c r="C18" s="12">
        <f>_xlfn.QUARTILE.EXC($C$3:$C$14,1)</f>
        <v>115040200</v>
      </c>
      <c r="D18" s="9"/>
    </row>
    <row r="19" spans="1:4" x14ac:dyDescent="0.2">
      <c r="A19" s="27" t="s">
        <v>530</v>
      </c>
      <c r="B19" s="12">
        <f>_xlfn.QUARTILE.EXC($B$3:$B$14,3)</f>
        <v>299864925</v>
      </c>
      <c r="C19" s="12">
        <f>_xlfn.QUARTILE.EXC($C$3:$C$14,3)</f>
        <v>496596300</v>
      </c>
      <c r="D19" s="9"/>
    </row>
    <row r="20" spans="1:4" x14ac:dyDescent="0.2">
      <c r="A20" s="27" t="s">
        <v>531</v>
      </c>
      <c r="B20" s="19">
        <f>B19-B18</f>
        <v>183731275</v>
      </c>
      <c r="C20" s="19">
        <f>C19-C18</f>
        <v>381556100</v>
      </c>
    </row>
  </sheetData>
  <autoFilter ref="A2:D14" xr:uid="{080197E7-43C1-417A-9295-A8CBED3A3452}">
    <filterColumn colId="1">
      <customFilters>
        <customFilter operator="greaterThan" val="263886592"/>
      </customFilters>
    </filterColumn>
    <filterColumn colId="2">
      <customFilters>
        <customFilter operator="greaterThan" val="275503183"/>
      </customFilters>
    </filterColumn>
  </autoFilter>
  <mergeCells count="1">
    <mergeCell ref="B1:D1"/>
  </mergeCells>
  <conditionalFormatting sqref="D3:D19">
    <cfRule type="cellIs" dxfId="1" priority="1" operator="greaterThan">
      <formula>0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C0D72-44C5-084C-A8CC-121BC4471532}">
  <sheetPr codeName="Sheet7" filterMode="1"/>
  <dimension ref="A1:D20"/>
  <sheetViews>
    <sheetView zoomScale="150" zoomScaleNormal="150" workbookViewId="0">
      <selection activeCell="F27" sqref="F27"/>
    </sheetView>
  </sheetViews>
  <sheetFormatPr baseColWidth="10" defaultColWidth="8.83203125" defaultRowHeight="15" x14ac:dyDescent="0.2"/>
  <cols>
    <col min="1" max="1" width="10.83203125" bestFit="1" customWidth="1"/>
    <col min="2" max="2" width="17.33203125" bestFit="1" customWidth="1"/>
    <col min="3" max="3" width="17.33203125" style="6" bestFit="1" customWidth="1"/>
    <col min="4" max="4" width="15.1640625" bestFit="1" customWidth="1"/>
  </cols>
  <sheetData>
    <row r="1" spans="1:4" ht="19" x14ac:dyDescent="0.25">
      <c r="B1" s="29" t="s">
        <v>534</v>
      </c>
      <c r="C1" s="29"/>
      <c r="D1" s="29"/>
    </row>
    <row r="2" spans="1:4" ht="16" thickBot="1" x14ac:dyDescent="0.25">
      <c r="A2" s="13"/>
      <c r="B2" s="28">
        <v>2017</v>
      </c>
      <c r="C2" s="28">
        <v>2018</v>
      </c>
      <c r="D2" s="13" t="s">
        <v>527</v>
      </c>
    </row>
    <row r="3" spans="1:4" hidden="1" x14ac:dyDescent="0.2">
      <c r="A3" s="24" t="s">
        <v>8</v>
      </c>
      <c r="B3" s="11">
        <v>8.9368253946304321E-2</v>
      </c>
      <c r="C3" s="11">
        <v>-7.2847634553909302E-2</v>
      </c>
      <c r="D3" s="8">
        <f>+B3+C3</f>
        <v>1.652061939239502E-2</v>
      </c>
    </row>
    <row r="4" spans="1:4" hidden="1" x14ac:dyDescent="0.2">
      <c r="A4" s="24" t="s">
        <v>9</v>
      </c>
      <c r="B4" s="11">
        <v>0.33070248365402222</v>
      </c>
      <c r="C4" s="11">
        <v>-0.16336052119731903</v>
      </c>
      <c r="D4" s="8">
        <f t="shared" ref="D4:D14" si="0">+B4+C4</f>
        <v>0.16734196245670319</v>
      </c>
    </row>
    <row r="5" spans="1:4" hidden="1" x14ac:dyDescent="0.2">
      <c r="A5" s="24" t="s">
        <v>10</v>
      </c>
      <c r="B5" s="11">
        <v>1.9944583177566528</v>
      </c>
      <c r="C5" s="11">
        <v>-0.62601888179779053</v>
      </c>
      <c r="D5" s="8">
        <f t="shared" si="0"/>
        <v>1.3684394359588623</v>
      </c>
    </row>
    <row r="6" spans="1:4" x14ac:dyDescent="0.2">
      <c r="A6" s="24" t="s">
        <v>11</v>
      </c>
      <c r="B6" s="11">
        <v>1.2952382564544678</v>
      </c>
      <c r="C6" s="11">
        <v>0.81923085451126099</v>
      </c>
      <c r="D6" s="8">
        <f t="shared" si="0"/>
        <v>2.1144691109657288</v>
      </c>
    </row>
    <row r="7" spans="1:4" hidden="1" x14ac:dyDescent="0.2">
      <c r="A7" s="24" t="s">
        <v>12</v>
      </c>
      <c r="B7" s="11">
        <v>1.0131185054779053</v>
      </c>
      <c r="C7" s="11">
        <v>-0.39713191986083984</v>
      </c>
      <c r="D7" s="8">
        <f t="shared" si="0"/>
        <v>0.61598658561706543</v>
      </c>
    </row>
    <row r="8" spans="1:4" hidden="1" x14ac:dyDescent="0.2">
      <c r="A8" s="24" t="s">
        <v>13</v>
      </c>
      <c r="B8" s="11">
        <v>0.2583681046962738</v>
      </c>
      <c r="C8" s="11">
        <v>-0.20658062398433685</v>
      </c>
      <c r="D8" s="8">
        <f t="shared" si="0"/>
        <v>5.1787480711936951E-2</v>
      </c>
    </row>
    <row r="9" spans="1:4" hidden="1" x14ac:dyDescent="0.2">
      <c r="A9" s="24" t="s">
        <v>14</v>
      </c>
      <c r="B9" s="11">
        <v>0.53870755434036255</v>
      </c>
      <c r="C9" s="11">
        <v>-0.6053471565246582</v>
      </c>
      <c r="D9" s="8">
        <f t="shared" si="0"/>
        <v>-6.6639602184295654E-2</v>
      </c>
    </row>
    <row r="10" spans="1:4" hidden="1" x14ac:dyDescent="0.2">
      <c r="A10" s="24" t="s">
        <v>15</v>
      </c>
      <c r="B10" s="11">
        <v>5.5456161499023438E-2</v>
      </c>
      <c r="C10" s="11">
        <v>0.83952707052230835</v>
      </c>
      <c r="D10" s="8">
        <f t="shared" si="0"/>
        <v>0.89498323202133179</v>
      </c>
    </row>
    <row r="11" spans="1:4" x14ac:dyDescent="0.2">
      <c r="A11" s="24" t="s">
        <v>16</v>
      </c>
      <c r="B11" s="11">
        <v>1.8446969985961914</v>
      </c>
      <c r="C11" s="11">
        <v>-7.7529586851596832E-2</v>
      </c>
      <c r="D11" s="8">
        <f t="shared" si="0"/>
        <v>1.7671674117445946</v>
      </c>
    </row>
    <row r="12" spans="1:4" hidden="1" x14ac:dyDescent="0.2">
      <c r="A12" s="24" t="s">
        <v>17</v>
      </c>
      <c r="B12" s="11">
        <v>0.23065699636936188</v>
      </c>
      <c r="C12" s="11">
        <v>-0.44593092799186707</v>
      </c>
      <c r="D12" s="8">
        <f t="shared" si="0"/>
        <v>-0.21527393162250519</v>
      </c>
    </row>
    <row r="13" spans="1:4" hidden="1" x14ac:dyDescent="0.2">
      <c r="A13" s="24" t="s">
        <v>18</v>
      </c>
      <c r="B13" s="11">
        <v>-7.2148971259593964E-2</v>
      </c>
      <c r="C13" s="11">
        <v>-4.9957673996686935E-2</v>
      </c>
      <c r="D13" s="8">
        <f t="shared" si="0"/>
        <v>-0.1221066452562809</v>
      </c>
    </row>
    <row r="14" spans="1:4" ht="16" hidden="1" thickBot="1" x14ac:dyDescent="0.25">
      <c r="A14" s="25" t="s">
        <v>19</v>
      </c>
      <c r="B14" s="17">
        <v>0.50000005960464478</v>
      </c>
      <c r="C14" s="17">
        <v>-3.5443063825368881E-2</v>
      </c>
      <c r="D14" s="18">
        <f t="shared" si="0"/>
        <v>0.46455699577927589</v>
      </c>
    </row>
    <row r="15" spans="1:4" x14ac:dyDescent="0.2">
      <c r="A15" s="16"/>
      <c r="B15" s="22"/>
      <c r="C15" s="22"/>
      <c r="D15" s="23"/>
    </row>
    <row r="16" spans="1:4" ht="16" thickBot="1" x14ac:dyDescent="0.25">
      <c r="A16" s="16"/>
      <c r="B16" s="26">
        <v>2017</v>
      </c>
      <c r="C16" s="26">
        <v>2018</v>
      </c>
      <c r="D16" s="23"/>
    </row>
    <row r="17" spans="1:3" x14ac:dyDescent="0.2">
      <c r="A17" s="27" t="s">
        <v>528</v>
      </c>
      <c r="B17" s="30">
        <f>AVERAGE(B3:B14)</f>
        <v>0.67321856009463465</v>
      </c>
      <c r="C17" s="30">
        <f>AVERAGE(C3:C14)</f>
        <v>-8.5115838795900345E-2</v>
      </c>
    </row>
    <row r="18" spans="1:3" x14ac:dyDescent="0.2">
      <c r="A18" s="27" t="s">
        <v>529</v>
      </c>
      <c r="B18" s="6">
        <f>_xlfn.QUARTILE.EXC($B$3:$B$14,1)</f>
        <v>0.12469043955206871</v>
      </c>
      <c r="C18" s="6">
        <f>_xlfn.QUARTILE.EXC($C$3:C14,1)</f>
        <v>-0.43373117595911026</v>
      </c>
    </row>
    <row r="19" spans="1:3" x14ac:dyDescent="0.2">
      <c r="A19" s="27" t="s">
        <v>530</v>
      </c>
      <c r="B19" s="6">
        <f>_xlfn.QUARTILE.EXC($B$3:$B$14,3)</f>
        <v>1.2247083187103271</v>
      </c>
      <c r="C19" s="6">
        <f>_xlfn.QUARTILE.EXC($C$3:C14,3)</f>
        <v>-3.9071716368198395E-2</v>
      </c>
    </row>
    <row r="20" spans="1:3" x14ac:dyDescent="0.2">
      <c r="A20" s="27" t="s">
        <v>531</v>
      </c>
      <c r="B20" s="8">
        <f>B19-B18</f>
        <v>1.1000178791582584</v>
      </c>
      <c r="C20" s="6">
        <f>C19-C18</f>
        <v>0.39465945959091187</v>
      </c>
    </row>
  </sheetData>
  <autoFilter ref="A2:D14" xr:uid="{774C0D72-44C5-084C-A8CC-121BC4471532}">
    <filterColumn colId="1">
      <customFilters>
        <customFilter operator="greaterThan" val="0.67"/>
      </customFilters>
    </filterColumn>
    <filterColumn colId="2">
      <customFilters>
        <customFilter operator="greaterThan" val="-0.09"/>
      </customFilters>
    </filterColumn>
  </autoFilter>
  <mergeCells count="1">
    <mergeCell ref="B1:D1"/>
  </mergeCells>
  <conditionalFormatting sqref="C3:D15 D16">
    <cfRule type="cellIs" dxfId="0" priority="1" operator="greaterThan">
      <formula>0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Volume Analysis</vt:lpstr>
      <vt:lpstr>Return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 Meza</dc:creator>
  <cp:lastModifiedBy>Microsoft Office User</cp:lastModifiedBy>
  <dcterms:created xsi:type="dcterms:W3CDTF">2019-05-02T20:23:55Z</dcterms:created>
  <dcterms:modified xsi:type="dcterms:W3CDTF">2021-12-22T02:37:23Z</dcterms:modified>
</cp:coreProperties>
</file>